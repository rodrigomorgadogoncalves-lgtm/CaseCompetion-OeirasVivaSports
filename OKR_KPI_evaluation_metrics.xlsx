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disegutl-my.sharepoint.com/personal/l59763_aln_iseg_ulisboa_pt/Documents/Desktop/CASE/"/>
    </mc:Choice>
  </mc:AlternateContent>
  <xr:revisionPtr revIDLastSave="9" documentId="13_ncr:1_{9240AC0A-3A36-45D0-9DDB-A531E13D851A}" xr6:coauthVersionLast="47" xr6:coauthVersionMax="47" xr10:uidLastSave="{F99953BF-B292-4B75-BD7D-1FF4778D1664}"/>
  <bookViews>
    <workbookView xWindow="-108" yWindow="-108" windowWidth="23256" windowHeight="13176" tabRatio="720" activeTab="2" xr2:uid="{D2956E2E-6705-47D4-9F93-50E8BB0096B2}"/>
  </bookViews>
  <sheets>
    <sheet name="Indicadores de Anos Anteriores" sheetId="1" r:id="rId1"/>
    <sheet name="OKRs" sheetId="2" r:id="rId2"/>
    <sheet name="KP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3" l="1"/>
  <c r="I42" i="3" s="1"/>
  <c r="H43" i="3"/>
  <c r="I43" i="3"/>
  <c r="H44" i="3"/>
  <c r="I44" i="3"/>
  <c r="H45" i="3"/>
  <c r="I45" i="3"/>
  <c r="H46" i="3"/>
  <c r="I46" i="3"/>
  <c r="H39" i="3"/>
  <c r="I39" i="3"/>
  <c r="I37" i="3"/>
  <c r="L37" i="3" s="1"/>
  <c r="I34" i="3"/>
  <c r="L34" i="3" s="1"/>
  <c r="H33" i="3"/>
  <c r="I33" i="3" s="1"/>
  <c r="H28" i="3"/>
  <c r="I28" i="3"/>
  <c r="H29" i="3"/>
  <c r="I29" i="3"/>
  <c r="H30" i="3"/>
  <c r="I30" i="3"/>
  <c r="H31" i="3"/>
  <c r="I31" i="3"/>
  <c r="G46" i="3"/>
  <c r="G45" i="3"/>
  <c r="G44" i="3"/>
  <c r="G43" i="3"/>
  <c r="G42" i="3"/>
  <c r="G39" i="3"/>
  <c r="G33" i="3"/>
  <c r="G31" i="3"/>
  <c r="G30" i="3"/>
  <c r="G29" i="3"/>
  <c r="G28" i="3"/>
  <c r="H19" i="3"/>
  <c r="I19" i="3" s="1"/>
  <c r="H20" i="3"/>
  <c r="I20" i="3"/>
  <c r="H21" i="3"/>
  <c r="I21" i="3"/>
  <c r="H22" i="3"/>
  <c r="I22" i="3"/>
  <c r="H23" i="3"/>
  <c r="I23" i="3"/>
  <c r="H24" i="3"/>
  <c r="I24" i="3"/>
  <c r="H25" i="3"/>
  <c r="I25" i="3" s="1"/>
  <c r="H26" i="3"/>
  <c r="I26" i="3"/>
  <c r="H27" i="3"/>
  <c r="I27" i="3"/>
  <c r="G27" i="3"/>
  <c r="G26" i="3"/>
  <c r="G25" i="3"/>
  <c r="G24" i="3"/>
  <c r="G23" i="3"/>
  <c r="G22" i="3"/>
  <c r="G21" i="3"/>
  <c r="G20" i="3"/>
  <c r="G19" i="3"/>
  <c r="H8" i="3"/>
  <c r="I8" i="3" s="1"/>
  <c r="H18" i="3"/>
  <c r="I18" i="3"/>
  <c r="G18" i="3"/>
  <c r="G17" i="3"/>
  <c r="H17" i="3" s="1"/>
  <c r="I17" i="3" s="1"/>
  <c r="H16" i="3"/>
  <c r="I16" i="3" s="1"/>
  <c r="G16" i="3"/>
  <c r="G11" i="3"/>
  <c r="H11" i="3" s="1"/>
  <c r="I11" i="3" s="1"/>
  <c r="H10" i="3"/>
  <c r="I10" i="3" s="1"/>
  <c r="G10" i="3"/>
  <c r="G15" i="3"/>
  <c r="H15" i="3" s="1"/>
  <c r="I15" i="3" s="1"/>
  <c r="G14" i="3"/>
  <c r="H14" i="3" s="1"/>
  <c r="I14" i="3" s="1"/>
  <c r="H12" i="3"/>
  <c r="I12" i="3"/>
  <c r="G12" i="3"/>
  <c r="G9" i="3"/>
  <c r="H9" i="3" s="1"/>
  <c r="I9" i="3" s="1"/>
  <c r="G7" i="3"/>
  <c r="H7" i="3"/>
  <c r="I7" i="3" s="1"/>
  <c r="H6" i="3"/>
  <c r="I6" i="3"/>
  <c r="G6" i="3"/>
  <c r="H5" i="3"/>
  <c r="I5" i="3" s="1"/>
  <c r="G5" i="3"/>
  <c r="L32" i="3"/>
</calcChain>
</file>

<file path=xl/sharedStrings.xml><?xml version="1.0" encoding="utf-8"?>
<sst xmlns="http://schemas.openxmlformats.org/spreadsheetml/2006/main" count="205" uniqueCount="132">
  <si>
    <t>Alcance</t>
  </si>
  <si>
    <t>Visitas</t>
  </si>
  <si>
    <t>Novos seguidores</t>
  </si>
  <si>
    <t>Interação com conteúdos</t>
  </si>
  <si>
    <t>Seguidores</t>
  </si>
  <si>
    <t>Cliques em ligações</t>
  </si>
  <si>
    <t>Indicadores</t>
  </si>
  <si>
    <t>Viva Oeiras - Facebook</t>
  </si>
  <si>
    <t>Viva Oeiras - Instagram</t>
  </si>
  <si>
    <t xml:space="preserve">Viva Oeiras - Utilização de Equipamento </t>
  </si>
  <si>
    <t>Pavilhões - Jogos Oficiais</t>
  </si>
  <si>
    <t xml:space="preserve">Pavilhões - Treinos </t>
  </si>
  <si>
    <t xml:space="preserve">Piscinas - Número de Utentes </t>
  </si>
  <si>
    <t xml:space="preserve">Viva Férias - Número de participantes </t>
  </si>
  <si>
    <t xml:space="preserve">Piscina Oceânica - Número de visitantes </t>
  </si>
  <si>
    <t>Coordenação</t>
  </si>
  <si>
    <t>Estado</t>
  </si>
  <si>
    <t>Por iniciar</t>
  </si>
  <si>
    <r>
      <t>(</t>
    </r>
    <r>
      <rPr>
        <b/>
        <i/>
        <sz val="12"/>
        <color rgb="FFFFFFFF"/>
        <rFont val="Aptos Display"/>
        <family val="2"/>
        <scheme val="major"/>
      </rPr>
      <t>Higher Level</t>
    </r>
    <r>
      <rPr>
        <b/>
        <sz val="12"/>
        <color rgb="FFFFFFFF"/>
        <rFont val="Aptos Display"/>
        <family val="2"/>
        <scheme val="major"/>
      </rPr>
      <t>) Objectives</t>
    </r>
  </si>
  <si>
    <r>
      <t>(</t>
    </r>
    <r>
      <rPr>
        <b/>
        <i/>
        <sz val="12"/>
        <color rgb="FFFFFFFF"/>
        <rFont val="Aptos Display"/>
        <family val="2"/>
        <scheme val="major"/>
      </rPr>
      <t>Lower Level</t>
    </r>
    <r>
      <rPr>
        <b/>
        <sz val="12"/>
        <color rgb="FFFFFFFF"/>
        <rFont val="Aptos Display"/>
        <family val="2"/>
        <scheme val="major"/>
      </rPr>
      <t>) Objectives</t>
    </r>
  </si>
  <si>
    <t>Responsável</t>
  </si>
  <si>
    <t>KPI</t>
  </si>
  <si>
    <t>Estado do KPI</t>
  </si>
  <si>
    <t>Taxa de incumprimento do KPI</t>
  </si>
  <si>
    <t>Justificação</t>
  </si>
  <si>
    <t>Meta 2027</t>
  </si>
  <si>
    <t>Meta 2028</t>
  </si>
  <si>
    <t>Meta 2029</t>
  </si>
  <si>
    <t>Meta 2030</t>
  </si>
  <si>
    <t>*a coluna Coordenação deverá ser posteriormente preenchida pela organização</t>
  </si>
  <si>
    <t>*a coluna Responsável deverá ser posteriormente preenchida pela organização</t>
  </si>
  <si>
    <t>**a coluna Estado deverá ser usada para controlo da evolução anual de cada OKR</t>
  </si>
  <si>
    <t>**Previsão de metas dos KPIs para os próximos 4 anos. Importante destacar os mesmos valores podem e deverão ser atualizados caso necessário</t>
  </si>
  <si>
    <t>***Em cada ano, deverá ser feito um acompanhamento constante da evolução dos KPIs</t>
  </si>
  <si>
    <t xml:space="preserve">Concelho de Oeiras - Barómetro </t>
  </si>
  <si>
    <t>% de Populaçãp Ativa</t>
  </si>
  <si>
    <t>% de Populaçãp Moderadamente Ativa</t>
  </si>
  <si>
    <t>% de População Pouco Ativa / Inativa</t>
  </si>
  <si>
    <t>% População Sendentária (+8h30 por dia)</t>
  </si>
  <si>
    <t>Média Portuguesa</t>
  </si>
  <si>
    <t>*valores dos Relatórios de Contas da Oeiras Viva</t>
  </si>
  <si>
    <t>Atividades Preferidas</t>
  </si>
  <si>
    <t>Caminhada e Treino de Força</t>
  </si>
  <si>
    <t>Saúde e Condição Física</t>
  </si>
  <si>
    <t>Maiores Motivadores para Exercício</t>
  </si>
  <si>
    <t>Principais Motivadores para Não Praticar</t>
  </si>
  <si>
    <t>Falta de Tempo e Falta de Motivação</t>
  </si>
  <si>
    <t xml:space="preserve">*valores do estudo do EnviHeb Lab | Instituto de Saúde Ambiental </t>
  </si>
  <si>
    <t>Incentivar a prática regular de atividade física e reduzir o sedentarismo no concelho</t>
  </si>
  <si>
    <t>Reduzir a proporção de residentes que nunca ou raramente praticam atividade física</t>
  </si>
  <si>
    <t>Aumentar a adesão a programas municipais regulares</t>
  </si>
  <si>
    <t>Criar meios de integração e dinamização entre saúde, ação social e oferta desportiva</t>
  </si>
  <si>
    <t>Aumentar a prática recorrente, não apenas participações pontuais</t>
  </si>
  <si>
    <t>Social e Desporto</t>
  </si>
  <si>
    <t>Aumentar a presença feminina e equilíbrio territorial da participação</t>
  </si>
  <si>
    <t>Melhorar a ligação entre clubes, comunidade e município</t>
  </si>
  <si>
    <t>Tornar o ecossistema desportivo municipal mais sustentável financeiramente e com maior efeito económico local</t>
  </si>
  <si>
    <t>Social e Económico-Financeiro</t>
  </si>
  <si>
    <t>Aumentar captação de parceiros privados e patrocinadores</t>
  </si>
  <si>
    <t>Criar modelos de divulgação com parceiros locais, promovendo uma relação simbiótica de benefício mútuo</t>
  </si>
  <si>
    <t>Melhorar eficiência da ocupação das instalações e programas</t>
  </si>
  <si>
    <t>Usar tecnologia, dados e personalização para melhorar a decisão pública e o engagement dos munícipes, através de um sistema automatizado de personalização de contacto com o utilizador</t>
  </si>
  <si>
    <t>Melhorar a divulgação de atividades menos populares, de modo a garantir uma oferta diversificada aos munícipes</t>
  </si>
  <si>
    <t>Integrar oferta e canais numa única porta de entrada - sistema omnicanal</t>
  </si>
  <si>
    <t xml:space="preserve">Criar datasets coerentes e completos, com informação generalizada sobre o perfil dos utilizadores </t>
  </si>
  <si>
    <t>Utilizar os dados já recolhidos pela Câmara Municipal de Oeiras junto de clubes e outros para identificar perfis iniciais</t>
  </si>
  <si>
    <t xml:space="preserve">Operacionalizar analytics que permitam uma identificação de diferentes perfis de utilizador </t>
  </si>
  <si>
    <t>Operacionalizar analytics que permitam o estudo de performance da plataforma e respetiva estrutura, com possíveis soluções</t>
  </si>
  <si>
    <t>Usar dados para personalização de recomendações e planeamento da oferta ao utilizador</t>
  </si>
  <si>
    <t>Inovação</t>
  </si>
  <si>
    <t>Garantir acessibilidade omnicanal, económica, territorial e funcional à oferta desportiva de Oeiras</t>
  </si>
  <si>
    <t>Acessibilidade</t>
  </si>
  <si>
    <t>Garantir comunicação efetiva e inscrição eficaz em ambos os meios digital e físico</t>
  </si>
  <si>
    <t>Reduzir o atrito para utilizadores com menor literacia digital, através da formação eficaz do staff</t>
  </si>
  <si>
    <t>Promover uma participação desportiva equilibrada no concelho, incentivando a adesão regular dos públicos sub-representados</t>
  </si>
  <si>
    <t>% de residentes que nunca/raramente praticam atividade física</t>
  </si>
  <si>
    <t>nº de parcerias  com instituições de saúde, de modo a divulgar a plataforma</t>
  </si>
  <si>
    <t>nº de cidadões inscritos em programas de instituições de desporto</t>
  </si>
  <si>
    <t>taxa de retenção na plataforma digital</t>
  </si>
  <si>
    <t>taxa de utilização do campo de saúde da plataforma digital</t>
  </si>
  <si>
    <t>taxa de ocupação dos eventos municipais</t>
  </si>
  <si>
    <t>taxa de utilizadores com uma streak na plataforma digital</t>
  </si>
  <si>
    <t>Garantir a existência e o acesso coesos dos serviços a cidadãos séniores e pessoas com necessidades especiais</t>
  </si>
  <si>
    <t>Garantir a existência e o acesso coesos dos serviços a cidadãos séniores e com necessidades especiais</t>
  </si>
  <si>
    <t>% participação sénior</t>
  </si>
  <si>
    <t>% participação de pessoas com necessidades especiais</t>
  </si>
  <si>
    <t>% eventos que garantem as necessidades para participação dos grupos identificados</t>
  </si>
  <si>
    <t>% participação feminina</t>
  </si>
  <si>
    <t>% de clubes integrados na plataforma e com divulgação ativa da mesma</t>
  </si>
  <si>
    <t>receita direta por evento</t>
  </si>
  <si>
    <t>rácio financiamento privado/público</t>
  </si>
  <si>
    <t>nº de parceiros locais integrados</t>
  </si>
  <si>
    <t xml:space="preserve">% recompensas do Passaporte+ Desportivo suportadas por parceiros </t>
  </si>
  <si>
    <t>% de conquistas focadas na exploração de novas atividades concretizadas por utilizador</t>
  </si>
  <si>
    <t>estimativa do impacto económico local por evento</t>
  </si>
  <si>
    <t xml:space="preserve">custo por utilizador ativo </t>
  </si>
  <si>
    <t>taxa de conversão de eventos em novas adesões à plataforma</t>
  </si>
  <si>
    <t xml:space="preserve">nº de parceiros privados e patrocinadores </t>
  </si>
  <si>
    <t>% da oferta integrada na plataforma</t>
  </si>
  <si>
    <t>nº de decisões municipais suportadas por heatmaps/analytics</t>
  </si>
  <si>
    <t>nº de perfis iniciais identificados e implementados</t>
  </si>
  <si>
    <t>% de utilizadores do Passaporte+ Desportivo físico e digital</t>
  </si>
  <si>
    <t>nº de utilizadores da plataforma digital</t>
  </si>
  <si>
    <t xml:space="preserve">nº de utilizadores do programa  Passaporte+ Desportivo </t>
  </si>
  <si>
    <t>taxa de reporte e resolução de problemas</t>
  </si>
  <si>
    <t xml:space="preserve">taxa de personalização </t>
  </si>
  <si>
    <t>nº de perfis identificados e implementados</t>
  </si>
  <si>
    <t>% de instalações com informação pública de acessibilidade</t>
  </si>
  <si>
    <t>nº de registos presenciais convertidos em conta digital</t>
  </si>
  <si>
    <t xml:space="preserve">parceria com instituições universitárias e/ou criar eventos para cooperação na implementação </t>
  </si>
  <si>
    <t>tempo médio para encontrar e reservar atividade</t>
  </si>
  <si>
    <t>nº de chamadas/atendimentos assistidos</t>
  </si>
  <si>
    <t>% de bilhetes/vagas distribuídas de forma equilibrada entre canais</t>
  </si>
  <si>
    <t>Melhorar a ligação com clubes, associações e freguesias</t>
  </si>
  <si>
    <t>% de eventos organizados por outras entidades e incluídos na plataforma digital</t>
  </si>
  <si>
    <t>nº de utilizadores integrados via outras entidades</t>
  </si>
  <si>
    <t>variação anual</t>
  </si>
  <si>
    <t>2 por ano</t>
  </si>
  <si>
    <t>5pp ao ano</t>
  </si>
  <si>
    <t>1pp ao ano</t>
  </si>
  <si>
    <t>100 por ano</t>
  </si>
  <si>
    <t xml:space="preserve">Não está em vigor </t>
  </si>
  <si>
    <t>1000 por ano</t>
  </si>
  <si>
    <t>10 por ano</t>
  </si>
  <si>
    <t>5000 por ano</t>
  </si>
  <si>
    <t>10pp por ano</t>
  </si>
  <si>
    <t>Não está em vigor</t>
  </si>
  <si>
    <t>dobro</t>
  </si>
  <si>
    <t>Observed impact</t>
  </si>
  <si>
    <t>Grow Recheio’s presence in recurring customer baskets through relevant recommendations.</t>
  </si>
  <si>
    <t>Increased Share of Wallet</t>
  </si>
  <si>
    <t>a) Increase AOV via cross-sell recos; b) Expand category coverage per customer; c) Reduce out-of-Recheio leakage on top categories; d) Activate dormant customers; e) Push private-label penetration through recos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</si>
</sst>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28"/>
      <color theme="4"/>
      <name val="Aptos Display"/>
      <family val="2"/>
      <scheme val="major"/>
    </font>
    <font>
      <sz val="1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FFFF"/>
      <name val="Aptos Display"/>
      <family val="2"/>
      <scheme val="major"/>
    </font>
    <font>
      <b/>
      <i/>
      <sz val="12"/>
      <color rgb="FFFFFFFF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Calibri Light"/>
      <family val="2"/>
    </font>
    <font>
      <sz val="11"/>
      <name val="Calibri"/>
      <family val="2"/>
    </font>
    <font>
      <sz val="9"/>
      <color theme="1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6E6E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7E6E6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3" fillId="0" borderId="0">
      <alignment horizontal="center" vertical="center"/>
    </xf>
    <xf numFmtId="0" fontId="4" fillId="0" borderId="1" applyNumberFormat="0" applyFill="0" applyBorder="0" applyProtection="0">
      <alignment horizontal="left" vertical="center"/>
    </xf>
  </cellStyleXfs>
  <cellXfs count="77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9" fillId="0" borderId="0" xfId="0" applyFont="1"/>
    <xf numFmtId="0" fontId="8" fillId="0" borderId="0" xfId="0" applyFont="1"/>
    <xf numFmtId="0" fontId="12" fillId="0" borderId="0" xfId="0" applyFont="1"/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top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9" fontId="0" fillId="0" borderId="0" xfId="0" applyNumberFormat="1" applyAlignment="1">
      <alignment horizontal="center" wrapText="1"/>
    </xf>
    <xf numFmtId="9" fontId="0" fillId="0" borderId="0" xfId="0" applyNumberFormat="1" applyAlignment="1">
      <alignment horizontal="center"/>
    </xf>
    <xf numFmtId="0" fontId="5" fillId="4" borderId="0" xfId="0" applyFont="1" applyFill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5" fillId="4" borderId="6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5" fillId="3" borderId="6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</cellXfs>
  <cellStyles count="3">
    <cellStyle name="Cabeçalho 1 2" xfId="2" xr:uid="{F7BA1D4C-12CE-4EC1-9FB1-D2950BF078ED}"/>
    <cellStyle name="Normal" xfId="0" builtinId="0"/>
    <cellStyle name="Normal 2" xfId="1" xr:uid="{27997C2B-7BDA-48C3-8D22-A1FD557348B3}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22C4-439B-4FE1-9E16-5459CF4E809B}">
  <dimension ref="B3:F44"/>
  <sheetViews>
    <sheetView workbookViewId="0">
      <selection activeCell="H2" sqref="H2"/>
    </sheetView>
  </sheetViews>
  <sheetFormatPr defaultRowHeight="14.4" x14ac:dyDescent="0.3"/>
  <cols>
    <col min="2" max="2" width="37.109375" customWidth="1"/>
  </cols>
  <sheetData>
    <row r="3" spans="2:4" s="3" customFormat="1" ht="28.05" customHeight="1" x14ac:dyDescent="0.3">
      <c r="B3" s="3" t="s">
        <v>7</v>
      </c>
    </row>
    <row r="5" spans="2:4" x14ac:dyDescent="0.3">
      <c r="B5" s="2" t="s">
        <v>6</v>
      </c>
      <c r="C5" s="2">
        <v>2023</v>
      </c>
      <c r="D5" s="2">
        <v>2024</v>
      </c>
    </row>
    <row r="6" spans="2:4" x14ac:dyDescent="0.3">
      <c r="B6" s="1" t="s">
        <v>0</v>
      </c>
      <c r="C6">
        <v>79802</v>
      </c>
      <c r="D6">
        <v>167000</v>
      </c>
    </row>
    <row r="7" spans="2:4" x14ac:dyDescent="0.3">
      <c r="B7" s="1" t="s">
        <v>1</v>
      </c>
      <c r="C7">
        <v>18800</v>
      </c>
      <c r="D7">
        <v>34000</v>
      </c>
    </row>
    <row r="8" spans="2:4" x14ac:dyDescent="0.3">
      <c r="B8" s="1" t="s">
        <v>2</v>
      </c>
      <c r="C8">
        <v>625</v>
      </c>
      <c r="D8">
        <v>998</v>
      </c>
    </row>
    <row r="9" spans="2:4" x14ac:dyDescent="0.3">
      <c r="B9" s="1" t="s">
        <v>3</v>
      </c>
      <c r="C9">
        <v>10800</v>
      </c>
      <c r="D9">
        <v>13400</v>
      </c>
    </row>
    <row r="10" spans="2:4" x14ac:dyDescent="0.3">
      <c r="B10" s="1" t="s">
        <v>4</v>
      </c>
      <c r="C10">
        <v>10200</v>
      </c>
      <c r="D10">
        <v>10800</v>
      </c>
    </row>
    <row r="11" spans="2:4" x14ac:dyDescent="0.3">
      <c r="B11" s="1" t="s">
        <v>5</v>
      </c>
      <c r="C11">
        <v>467</v>
      </c>
      <c r="D11">
        <v>907</v>
      </c>
    </row>
    <row r="12" spans="2:4" x14ac:dyDescent="0.3">
      <c r="B12" s="40" t="s">
        <v>40</v>
      </c>
    </row>
    <row r="14" spans="2:4" s="3" customFormat="1" ht="28.05" customHeight="1" x14ac:dyDescent="0.3">
      <c r="B14" s="3" t="s">
        <v>8</v>
      </c>
    </row>
    <row r="16" spans="2:4" x14ac:dyDescent="0.3">
      <c r="B16" s="2" t="s">
        <v>6</v>
      </c>
      <c r="C16" s="2">
        <v>2023</v>
      </c>
      <c r="D16" s="2">
        <v>2024</v>
      </c>
    </row>
    <row r="17" spans="2:5" x14ac:dyDescent="0.3">
      <c r="B17" s="1" t="s">
        <v>0</v>
      </c>
      <c r="C17">
        <v>8796</v>
      </c>
      <c r="D17">
        <v>33000</v>
      </c>
    </row>
    <row r="18" spans="2:5" x14ac:dyDescent="0.3">
      <c r="B18" s="1" t="s">
        <v>1</v>
      </c>
      <c r="C18">
        <v>5400</v>
      </c>
      <c r="D18">
        <v>9000</v>
      </c>
    </row>
    <row r="19" spans="2:5" x14ac:dyDescent="0.3">
      <c r="B19" s="1" t="s">
        <v>2</v>
      </c>
      <c r="C19">
        <v>202</v>
      </c>
      <c r="D19">
        <v>1100</v>
      </c>
    </row>
    <row r="20" spans="2:5" x14ac:dyDescent="0.3">
      <c r="B20" s="1" t="s">
        <v>4</v>
      </c>
      <c r="C20">
        <v>2700</v>
      </c>
      <c r="D20">
        <v>3800</v>
      </c>
    </row>
    <row r="21" spans="2:5" x14ac:dyDescent="0.3">
      <c r="B21" s="1" t="s">
        <v>5</v>
      </c>
      <c r="C21">
        <v>71</v>
      </c>
      <c r="D21">
        <v>302</v>
      </c>
    </row>
    <row r="22" spans="2:5" x14ac:dyDescent="0.3">
      <c r="B22" s="40" t="s">
        <v>40</v>
      </c>
    </row>
    <row r="24" spans="2:5" s="3" customFormat="1" ht="28.05" customHeight="1" x14ac:dyDescent="0.3">
      <c r="B24" s="3" t="s">
        <v>9</v>
      </c>
    </row>
    <row r="26" spans="2:5" x14ac:dyDescent="0.3">
      <c r="B26" s="2" t="s">
        <v>6</v>
      </c>
      <c r="C26" s="2">
        <v>2022</v>
      </c>
      <c r="D26" s="2">
        <v>2023</v>
      </c>
      <c r="E26" s="2">
        <v>2024</v>
      </c>
    </row>
    <row r="27" spans="2:5" x14ac:dyDescent="0.3">
      <c r="B27" s="1" t="s">
        <v>10</v>
      </c>
      <c r="C27">
        <v>900</v>
      </c>
      <c r="D27">
        <v>1092</v>
      </c>
      <c r="E27">
        <v>2295</v>
      </c>
    </row>
    <row r="28" spans="2:5" x14ac:dyDescent="0.3">
      <c r="B28" s="1" t="s">
        <v>11</v>
      </c>
      <c r="C28">
        <v>6500</v>
      </c>
      <c r="D28">
        <v>7228</v>
      </c>
      <c r="E28">
        <v>7812</v>
      </c>
    </row>
    <row r="29" spans="2:5" x14ac:dyDescent="0.3">
      <c r="B29" s="1" t="s">
        <v>12</v>
      </c>
      <c r="C29">
        <v>2600</v>
      </c>
      <c r="D29">
        <v>3596</v>
      </c>
      <c r="E29">
        <v>3870</v>
      </c>
    </row>
    <row r="30" spans="2:5" x14ac:dyDescent="0.3">
      <c r="B30" s="1" t="s">
        <v>13</v>
      </c>
      <c r="C30">
        <v>1000</v>
      </c>
      <c r="D30">
        <v>1188</v>
      </c>
      <c r="E30">
        <v>1328</v>
      </c>
    </row>
    <row r="31" spans="2:5" x14ac:dyDescent="0.3">
      <c r="B31" s="1" t="s">
        <v>14</v>
      </c>
      <c r="C31">
        <v>50000</v>
      </c>
      <c r="D31">
        <v>51558</v>
      </c>
      <c r="E31">
        <v>56660</v>
      </c>
    </row>
    <row r="32" spans="2:5" x14ac:dyDescent="0.3">
      <c r="B32" s="40" t="s">
        <v>40</v>
      </c>
    </row>
    <row r="34" spans="2:6" s="3" customFormat="1" ht="28.05" customHeight="1" x14ac:dyDescent="0.3">
      <c r="B34" s="3" t="s">
        <v>34</v>
      </c>
    </row>
    <row r="36" spans="2:6" x14ac:dyDescent="0.3">
      <c r="B36" s="2" t="s">
        <v>6</v>
      </c>
      <c r="C36" s="2">
        <v>2020</v>
      </c>
      <c r="D36" s="2">
        <v>2024</v>
      </c>
      <c r="E36" s="52" t="s">
        <v>39</v>
      </c>
      <c r="F36" s="52"/>
    </row>
    <row r="37" spans="2:6" x14ac:dyDescent="0.3">
      <c r="B37" s="1" t="s">
        <v>35</v>
      </c>
      <c r="C37">
        <v>26.3</v>
      </c>
      <c r="D37">
        <v>18.100000000000001</v>
      </c>
      <c r="E37">
        <v>27.1</v>
      </c>
    </row>
    <row r="38" spans="2:6" x14ac:dyDescent="0.3">
      <c r="B38" s="1" t="s">
        <v>36</v>
      </c>
      <c r="C38">
        <v>43.2</v>
      </c>
      <c r="D38">
        <v>54</v>
      </c>
      <c r="E38">
        <v>30.3</v>
      </c>
    </row>
    <row r="39" spans="2:6" x14ac:dyDescent="0.3">
      <c r="B39" s="1" t="s">
        <v>37</v>
      </c>
      <c r="C39">
        <v>30.5</v>
      </c>
      <c r="D39">
        <v>27.9</v>
      </c>
      <c r="E39">
        <v>42.6</v>
      </c>
    </row>
    <row r="40" spans="2:6" x14ac:dyDescent="0.3">
      <c r="B40" s="1" t="s">
        <v>41</v>
      </c>
      <c r="D40" t="s">
        <v>42</v>
      </c>
    </row>
    <row r="41" spans="2:6" x14ac:dyDescent="0.3">
      <c r="B41" s="1" t="s">
        <v>44</v>
      </c>
      <c r="D41" t="s">
        <v>43</v>
      </c>
    </row>
    <row r="42" spans="2:6" x14ac:dyDescent="0.3">
      <c r="B42" s="1" t="s">
        <v>38</v>
      </c>
      <c r="C42">
        <v>16.899999999999999</v>
      </c>
      <c r="D42">
        <v>38</v>
      </c>
      <c r="E42">
        <v>10</v>
      </c>
    </row>
    <row r="43" spans="2:6" x14ac:dyDescent="0.3">
      <c r="B43" s="1" t="s">
        <v>45</v>
      </c>
      <c r="D43" t="s">
        <v>46</v>
      </c>
    </row>
    <row r="44" spans="2:6" x14ac:dyDescent="0.3">
      <c r="B44" s="40" t="s">
        <v>47</v>
      </c>
    </row>
  </sheetData>
  <mergeCells count="1">
    <mergeCell ref="E36:F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09D-E249-45BF-B9A9-DF007205D49B}">
  <dimension ref="A2:N23"/>
  <sheetViews>
    <sheetView topLeftCell="D3" workbookViewId="0">
      <selection activeCell="D5" sqref="D5"/>
    </sheetView>
  </sheetViews>
  <sheetFormatPr defaultColWidth="8.77734375" defaultRowHeight="14.4" x14ac:dyDescent="0.3"/>
  <cols>
    <col min="2" max="2" width="18.88671875" style="34" customWidth="1"/>
    <col min="3" max="3" width="50.6640625" style="4" customWidth="1"/>
    <col min="4" max="4" width="50.6640625" style="5" customWidth="1"/>
    <col min="5" max="5" width="30.6640625" style="4" customWidth="1"/>
    <col min="6" max="6" width="15.6640625" style="4" customWidth="1"/>
  </cols>
  <sheetData>
    <row r="2" spans="1:14" x14ac:dyDescent="0.3">
      <c r="E2" s="39" t="s">
        <v>29</v>
      </c>
    </row>
    <row r="3" spans="1:14" ht="15" thickBot="1" x14ac:dyDescent="0.35">
      <c r="E3" s="39" t="s">
        <v>31</v>
      </c>
    </row>
    <row r="4" spans="1:14" s="7" customFormat="1" ht="30" customHeight="1" thickBot="1" x14ac:dyDescent="0.35">
      <c r="A4" s="6"/>
      <c r="B4" s="43" t="s">
        <v>128</v>
      </c>
      <c r="C4" s="23" t="s">
        <v>18</v>
      </c>
      <c r="D4" s="23" t="s">
        <v>19</v>
      </c>
      <c r="E4" s="23" t="s">
        <v>15</v>
      </c>
      <c r="F4" s="23" t="s">
        <v>16</v>
      </c>
      <c r="G4" s="6"/>
      <c r="H4" s="6"/>
      <c r="I4" s="6"/>
      <c r="J4" s="6"/>
      <c r="K4" s="6"/>
      <c r="L4" s="6"/>
      <c r="M4" s="6"/>
      <c r="N4" s="6"/>
    </row>
    <row r="5" spans="1:14" ht="30" customHeight="1" x14ac:dyDescent="0.3">
      <c r="A5" s="8"/>
      <c r="B5" t="s">
        <v>130</v>
      </c>
      <c r="C5" s="47" t="s">
        <v>129</v>
      </c>
      <c r="D5" s="9" t="s">
        <v>131</v>
      </c>
      <c r="E5" s="9"/>
      <c r="F5" s="10" t="s">
        <v>17</v>
      </c>
      <c r="G5" s="8"/>
      <c r="H5" s="8"/>
      <c r="I5" s="8"/>
      <c r="J5" s="8"/>
      <c r="K5" s="8"/>
      <c r="L5" s="8"/>
      <c r="M5" s="8"/>
      <c r="N5" s="8"/>
    </row>
    <row r="6" spans="1:14" ht="30" customHeight="1" x14ac:dyDescent="0.3">
      <c r="A6" s="8"/>
      <c r="B6" s="44"/>
      <c r="C6" s="47"/>
      <c r="D6" s="11" t="s">
        <v>50</v>
      </c>
      <c r="E6" s="12"/>
      <c r="F6" s="13" t="s">
        <v>17</v>
      </c>
      <c r="G6" s="8"/>
      <c r="H6" s="8"/>
      <c r="I6" s="8"/>
      <c r="J6" s="8"/>
      <c r="K6" s="8"/>
      <c r="L6" s="8"/>
      <c r="M6" s="8"/>
      <c r="N6" s="8"/>
    </row>
    <row r="7" spans="1:14" ht="30" customHeight="1" x14ac:dyDescent="0.3">
      <c r="A7" s="8"/>
      <c r="B7" s="44"/>
      <c r="C7" s="47"/>
      <c r="D7" s="12" t="s">
        <v>51</v>
      </c>
      <c r="E7" s="12"/>
      <c r="F7" s="14" t="s">
        <v>17</v>
      </c>
      <c r="G7" s="8"/>
      <c r="H7" s="8"/>
      <c r="I7" s="8"/>
      <c r="J7" s="8"/>
      <c r="K7" s="8"/>
      <c r="L7" s="8"/>
      <c r="M7" s="8"/>
      <c r="N7" s="8"/>
    </row>
    <row r="8" spans="1:14" ht="30" customHeight="1" x14ac:dyDescent="0.3">
      <c r="A8" s="8"/>
      <c r="B8" s="44"/>
      <c r="C8" s="47"/>
      <c r="D8" s="12" t="s">
        <v>52</v>
      </c>
      <c r="E8" s="12"/>
      <c r="F8" s="14" t="s">
        <v>17</v>
      </c>
      <c r="G8" s="8"/>
      <c r="H8" s="8"/>
      <c r="I8" s="8"/>
      <c r="J8" s="8"/>
      <c r="K8" s="8"/>
      <c r="L8" s="8"/>
      <c r="M8" s="8"/>
      <c r="N8" s="8"/>
    </row>
    <row r="9" spans="1:14" ht="30" customHeight="1" x14ac:dyDescent="0.3">
      <c r="A9" s="8"/>
      <c r="B9" s="44" t="s">
        <v>53</v>
      </c>
      <c r="C9" s="48" t="s">
        <v>74</v>
      </c>
      <c r="D9" s="16" t="s">
        <v>82</v>
      </c>
      <c r="E9" s="16"/>
      <c r="F9" s="14" t="s">
        <v>17</v>
      </c>
      <c r="G9" s="8"/>
      <c r="H9" s="17"/>
      <c r="I9" s="8"/>
      <c r="J9" s="8"/>
      <c r="K9" s="8"/>
      <c r="L9" s="8"/>
      <c r="M9" s="8"/>
      <c r="N9" s="8"/>
    </row>
    <row r="10" spans="1:14" ht="30" customHeight="1" x14ac:dyDescent="0.3">
      <c r="A10" s="8"/>
      <c r="B10" s="44"/>
      <c r="C10" s="49"/>
      <c r="D10" s="16" t="s">
        <v>54</v>
      </c>
      <c r="E10" s="16"/>
      <c r="F10" s="14" t="s">
        <v>17</v>
      </c>
      <c r="G10" s="8"/>
      <c r="H10" s="8"/>
      <c r="I10" s="8"/>
      <c r="J10" s="8"/>
      <c r="K10" s="8"/>
      <c r="L10" s="8"/>
      <c r="M10" s="8"/>
      <c r="N10" s="8"/>
    </row>
    <row r="11" spans="1:14" ht="30" customHeight="1" x14ac:dyDescent="0.3">
      <c r="A11" s="8"/>
      <c r="B11" s="44"/>
      <c r="C11" s="49"/>
      <c r="D11" s="19" t="s">
        <v>55</v>
      </c>
      <c r="E11" s="19"/>
      <c r="F11" s="15" t="s">
        <v>17</v>
      </c>
      <c r="G11" s="8"/>
      <c r="H11" s="8"/>
      <c r="I11" s="8"/>
      <c r="J11" s="8"/>
      <c r="K11" s="8"/>
      <c r="L11" s="8"/>
      <c r="M11" s="8"/>
      <c r="N11" s="8"/>
    </row>
    <row r="12" spans="1:14" ht="30" customHeight="1" x14ac:dyDescent="0.3">
      <c r="A12" s="8"/>
      <c r="B12" s="44" t="s">
        <v>57</v>
      </c>
      <c r="C12" s="50" t="s">
        <v>56</v>
      </c>
      <c r="D12" s="12" t="s">
        <v>58</v>
      </c>
      <c r="E12" s="12"/>
      <c r="F12" s="14" t="s">
        <v>17</v>
      </c>
      <c r="G12" s="8"/>
      <c r="H12" s="8"/>
      <c r="I12" s="8"/>
      <c r="J12" s="8"/>
      <c r="K12" s="8"/>
      <c r="L12" s="8"/>
      <c r="M12" s="8"/>
      <c r="N12" s="8"/>
    </row>
    <row r="13" spans="1:14" ht="30" customHeight="1" x14ac:dyDescent="0.3">
      <c r="A13" s="8"/>
      <c r="B13" s="44"/>
      <c r="C13" s="47"/>
      <c r="D13" s="12" t="s">
        <v>59</v>
      </c>
      <c r="E13" s="12"/>
      <c r="F13" s="14" t="s">
        <v>17</v>
      </c>
      <c r="G13" s="8"/>
      <c r="H13" s="8"/>
      <c r="I13" s="8"/>
      <c r="J13" s="8"/>
      <c r="K13" s="8"/>
      <c r="L13" s="8"/>
      <c r="M13" s="8"/>
      <c r="N13" s="8"/>
    </row>
    <row r="14" spans="1:14" ht="30" customHeight="1" x14ac:dyDescent="0.3">
      <c r="A14" s="8"/>
      <c r="B14" s="44"/>
      <c r="C14" s="47"/>
      <c r="D14" s="12" t="s">
        <v>62</v>
      </c>
      <c r="E14" s="12"/>
      <c r="F14" s="14" t="s">
        <v>17</v>
      </c>
      <c r="G14" s="8"/>
      <c r="H14" s="8"/>
      <c r="I14" s="8"/>
      <c r="J14" s="8"/>
      <c r="K14" s="8"/>
      <c r="L14" s="8"/>
      <c r="M14" s="8"/>
      <c r="N14" s="8"/>
    </row>
    <row r="15" spans="1:14" ht="30" customHeight="1" x14ac:dyDescent="0.3">
      <c r="A15" s="8"/>
      <c r="B15" s="44"/>
      <c r="C15" s="47"/>
      <c r="D15" s="12" t="s">
        <v>60</v>
      </c>
      <c r="E15" s="12"/>
      <c r="F15" s="14" t="s">
        <v>17</v>
      </c>
      <c r="G15" s="8"/>
      <c r="H15" s="8"/>
      <c r="I15" s="8"/>
      <c r="J15" s="8"/>
      <c r="K15" s="8"/>
      <c r="L15" s="8"/>
      <c r="M15" s="8"/>
      <c r="N15" s="8"/>
    </row>
    <row r="16" spans="1:14" ht="45" customHeight="1" x14ac:dyDescent="0.3">
      <c r="A16" s="8"/>
      <c r="B16" s="44" t="s">
        <v>69</v>
      </c>
      <c r="C16" s="48" t="s">
        <v>61</v>
      </c>
      <c r="D16" s="16" t="s">
        <v>63</v>
      </c>
      <c r="E16" s="16"/>
      <c r="F16" s="14" t="s">
        <v>17</v>
      </c>
      <c r="G16" s="8"/>
      <c r="H16" s="8"/>
      <c r="I16" s="8"/>
      <c r="J16" s="8"/>
      <c r="K16" s="8"/>
      <c r="L16" s="8"/>
      <c r="M16" s="8"/>
      <c r="N16" s="8"/>
    </row>
    <row r="17" spans="1:14" ht="30" customHeight="1" x14ac:dyDescent="0.3">
      <c r="A17" s="8"/>
      <c r="B17" s="44"/>
      <c r="C17" s="49"/>
      <c r="D17" s="16" t="s">
        <v>64</v>
      </c>
      <c r="E17" s="16"/>
      <c r="F17" s="14" t="s">
        <v>17</v>
      </c>
      <c r="G17" s="8"/>
      <c r="H17" s="8"/>
      <c r="I17" s="8"/>
      <c r="J17" s="8"/>
      <c r="K17" s="8"/>
      <c r="L17" s="8"/>
      <c r="M17" s="8"/>
      <c r="N17" s="8"/>
    </row>
    <row r="18" spans="1:14" ht="30" customHeight="1" x14ac:dyDescent="0.3">
      <c r="C18" s="49"/>
      <c r="D18" s="16" t="s">
        <v>66</v>
      </c>
      <c r="E18" s="16"/>
      <c r="F18" s="14" t="s">
        <v>17</v>
      </c>
      <c r="G18" s="8"/>
      <c r="H18" s="8"/>
      <c r="I18" s="8"/>
      <c r="J18" s="8"/>
      <c r="K18" s="8"/>
      <c r="L18" s="8"/>
      <c r="M18" s="8"/>
      <c r="N18" s="8"/>
    </row>
    <row r="19" spans="1:14" ht="30" customHeight="1" x14ac:dyDescent="0.3">
      <c r="C19" s="49"/>
      <c r="D19" s="16" t="s">
        <v>65</v>
      </c>
      <c r="E19" s="16"/>
      <c r="F19" s="14" t="s">
        <v>17</v>
      </c>
      <c r="G19" s="8"/>
      <c r="H19" s="8"/>
      <c r="I19" s="8"/>
      <c r="J19" s="8"/>
      <c r="K19" s="8"/>
      <c r="L19" s="8"/>
      <c r="M19" s="8"/>
      <c r="N19" s="8"/>
    </row>
    <row r="20" spans="1:14" ht="30" customHeight="1" x14ac:dyDescent="0.3">
      <c r="C20" s="49"/>
      <c r="D20" s="16" t="s">
        <v>67</v>
      </c>
      <c r="E20" s="16"/>
      <c r="F20" s="14" t="s">
        <v>17</v>
      </c>
      <c r="G20" s="8"/>
      <c r="H20" s="8"/>
      <c r="I20" s="8"/>
      <c r="J20" s="8"/>
      <c r="K20" s="8"/>
      <c r="L20" s="8"/>
      <c r="M20" s="8"/>
      <c r="N20" s="8"/>
    </row>
    <row r="21" spans="1:14" ht="30" customHeight="1" x14ac:dyDescent="0.3">
      <c r="C21" s="49"/>
      <c r="D21" s="20" t="s">
        <v>68</v>
      </c>
      <c r="E21" s="21"/>
      <c r="F21" s="14" t="s">
        <v>17</v>
      </c>
      <c r="G21" s="8"/>
      <c r="H21" s="8"/>
      <c r="I21" s="8"/>
      <c r="J21" s="8"/>
      <c r="K21" s="8"/>
      <c r="L21" s="8"/>
      <c r="M21" s="8"/>
      <c r="N21" s="8"/>
    </row>
    <row r="22" spans="1:14" ht="30" customHeight="1" x14ac:dyDescent="0.3">
      <c r="B22" s="34" t="s">
        <v>71</v>
      </c>
      <c r="C22" s="51" t="s">
        <v>70</v>
      </c>
      <c r="D22" s="22" t="s">
        <v>72</v>
      </c>
      <c r="E22" s="22"/>
      <c r="F22" s="14" t="s">
        <v>17</v>
      </c>
      <c r="G22" s="8"/>
      <c r="H22" s="8"/>
      <c r="I22" s="8"/>
      <c r="J22" s="8"/>
      <c r="K22" s="8"/>
      <c r="L22" s="8"/>
      <c r="M22" s="8"/>
      <c r="N22" s="8"/>
    </row>
    <row r="23" spans="1:14" ht="30" customHeight="1" x14ac:dyDescent="0.3">
      <c r="C23" s="47"/>
      <c r="D23" s="12" t="s">
        <v>73</v>
      </c>
      <c r="E23" s="12"/>
      <c r="F23" s="14" t="s">
        <v>17</v>
      </c>
      <c r="G23" s="8"/>
      <c r="H23" s="8"/>
      <c r="I23" s="8"/>
      <c r="J23" s="8"/>
      <c r="K23" s="8"/>
      <c r="L23" s="8"/>
      <c r="M23" s="8"/>
      <c r="N23" s="8"/>
    </row>
  </sheetData>
  <mergeCells count="5">
    <mergeCell ref="C5:C8"/>
    <mergeCell ref="C9:C11"/>
    <mergeCell ref="C12:C15"/>
    <mergeCell ref="C16:C21"/>
    <mergeCell ref="C22:C23"/>
  </mergeCells>
  <conditionalFormatting sqref="F5:F23">
    <cfRule type="containsText" dxfId="2" priority="1" operator="containsText" text="Por Iniciar">
      <formula>NOT(ISERROR(SEARCH("Por Iniciar",F5)))</formula>
    </cfRule>
    <cfRule type="containsText" dxfId="1" priority="2" operator="containsText" text="Iniciado">
      <formula>NOT(ISERROR(SEARCH("Iniciado",F5)))</formula>
    </cfRule>
    <cfRule type="containsText" dxfId="0" priority="3" operator="containsText" text="Concluído">
      <formula>NOT(ISERROR(SEARCH("Concluído",F5)))</formula>
    </cfRule>
  </conditionalFormatting>
  <dataValidations count="1">
    <dataValidation type="list" allowBlank="1" showInputMessage="1" showErrorMessage="1" sqref="F5:F23" xr:uid="{21BE3D3A-5CCC-4F32-814B-EC4651785BF4}">
      <formula1>"Concluído, Iniciado , Por iniciar"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F634-8AB3-40A0-942F-AB0C10D7596C}">
  <dimension ref="A2:M46"/>
  <sheetViews>
    <sheetView tabSelected="1" topLeftCell="C1" zoomScale="70" zoomScaleNormal="70" workbookViewId="0">
      <selection activeCell="E11" sqref="E11"/>
    </sheetView>
  </sheetViews>
  <sheetFormatPr defaultColWidth="8.77734375" defaultRowHeight="14.4" x14ac:dyDescent="0.3"/>
  <cols>
    <col min="2" max="2" width="30.6640625" style="4" customWidth="1"/>
    <col min="3" max="3" width="50.6640625" style="36" customWidth="1"/>
    <col min="4" max="4" width="50.6640625" style="38" customWidth="1"/>
    <col min="5" max="5" width="50.44140625" style="36" bestFit="1" customWidth="1"/>
    <col min="6" max="9" width="30.6640625" style="35" customWidth="1"/>
    <col min="10" max="10" width="14" style="42" customWidth="1"/>
    <col min="11" max="11" width="30.6640625" style="4" customWidth="1"/>
    <col min="12" max="12" width="40.6640625" style="4" customWidth="1"/>
    <col min="13" max="13" width="50.6640625" style="4" customWidth="1"/>
  </cols>
  <sheetData>
    <row r="2" spans="1:13" x14ac:dyDescent="0.3">
      <c r="B2" s="39" t="s">
        <v>30</v>
      </c>
      <c r="F2" s="41" t="s">
        <v>32</v>
      </c>
      <c r="K2" s="40" t="s">
        <v>33</v>
      </c>
    </row>
    <row r="3" spans="1:13" ht="15" thickBot="1" x14ac:dyDescent="0.35"/>
    <row r="4" spans="1:13" ht="30" customHeight="1" thickBot="1" x14ac:dyDescent="0.35">
      <c r="A4" s="8"/>
      <c r="B4" s="23" t="s">
        <v>20</v>
      </c>
      <c r="C4" s="23" t="s">
        <v>18</v>
      </c>
      <c r="D4" s="23" t="s">
        <v>19</v>
      </c>
      <c r="E4" s="23" t="s">
        <v>21</v>
      </c>
      <c r="F4" s="23" t="s">
        <v>25</v>
      </c>
      <c r="G4" s="23" t="s">
        <v>26</v>
      </c>
      <c r="H4" s="23" t="s">
        <v>27</v>
      </c>
      <c r="I4" s="23" t="s">
        <v>28</v>
      </c>
      <c r="J4" s="45" t="s">
        <v>116</v>
      </c>
      <c r="K4" s="23" t="s">
        <v>22</v>
      </c>
      <c r="L4" s="23" t="s">
        <v>23</v>
      </c>
      <c r="M4" s="23" t="s">
        <v>24</v>
      </c>
    </row>
    <row r="5" spans="1:13" ht="30" customHeight="1" x14ac:dyDescent="0.3">
      <c r="A5" s="8"/>
      <c r="B5" s="47"/>
      <c r="C5" s="62" t="s">
        <v>48</v>
      </c>
      <c r="D5" s="9" t="s">
        <v>49</v>
      </c>
      <c r="E5" s="9" t="s">
        <v>75</v>
      </c>
      <c r="F5" s="24">
        <v>25</v>
      </c>
      <c r="G5" s="24">
        <f>F5*0.9</f>
        <v>22.5</v>
      </c>
      <c r="H5" s="24">
        <f t="shared" ref="H5:I5" si="0">G5*0.9</f>
        <v>20.25</v>
      </c>
      <c r="I5" s="24">
        <f t="shared" si="0"/>
        <v>18.225000000000001</v>
      </c>
      <c r="J5" s="46">
        <v>-0.1</v>
      </c>
      <c r="K5" s="25"/>
      <c r="L5" s="25"/>
      <c r="M5" s="9"/>
    </row>
    <row r="6" spans="1:13" ht="30" customHeight="1" x14ac:dyDescent="0.3">
      <c r="B6" s="47"/>
      <c r="C6" s="63"/>
      <c r="D6" s="64" t="s">
        <v>50</v>
      </c>
      <c r="E6" s="9" t="s">
        <v>77</v>
      </c>
      <c r="F6" s="24">
        <v>21000</v>
      </c>
      <c r="G6" s="24">
        <f>F6*1.1</f>
        <v>23100.000000000004</v>
      </c>
      <c r="H6" s="24">
        <f t="shared" ref="H6:I6" si="1">G6*1.1</f>
        <v>25410.000000000007</v>
      </c>
      <c r="I6" s="24">
        <f t="shared" si="1"/>
        <v>27951.000000000011</v>
      </c>
      <c r="J6" s="46">
        <v>0.1</v>
      </c>
      <c r="K6" s="25"/>
      <c r="L6" s="25"/>
      <c r="M6" s="9"/>
    </row>
    <row r="7" spans="1:13" ht="30" customHeight="1" x14ac:dyDescent="0.3">
      <c r="B7" s="47"/>
      <c r="C7" s="63"/>
      <c r="D7" s="65"/>
      <c r="E7" s="9" t="s">
        <v>80</v>
      </c>
      <c r="F7" s="24">
        <v>85</v>
      </c>
      <c r="G7" s="24">
        <f>F7*1.03</f>
        <v>87.55</v>
      </c>
      <c r="H7" s="24">
        <f t="shared" ref="H7:I7" si="2">G7*1.05</f>
        <v>91.927499999999995</v>
      </c>
      <c r="I7" s="24">
        <f t="shared" si="2"/>
        <v>96.523875000000004</v>
      </c>
      <c r="J7" s="46">
        <v>0.03</v>
      </c>
      <c r="K7" s="25"/>
      <c r="L7" s="25"/>
      <c r="M7" s="9"/>
    </row>
    <row r="8" spans="1:13" ht="30" customHeight="1" x14ac:dyDescent="0.3">
      <c r="B8" s="47"/>
      <c r="C8" s="63"/>
      <c r="D8" s="57" t="s">
        <v>51</v>
      </c>
      <c r="E8" s="9" t="s">
        <v>76</v>
      </c>
      <c r="F8" s="24" t="s">
        <v>121</v>
      </c>
      <c r="G8" s="24">
        <v>4</v>
      </c>
      <c r="H8" s="24">
        <f t="shared" ref="H8:I8" si="3">G8+2</f>
        <v>6</v>
      </c>
      <c r="I8" s="24">
        <f t="shared" si="3"/>
        <v>8</v>
      </c>
      <c r="J8" s="42" t="s">
        <v>117</v>
      </c>
      <c r="K8" s="25"/>
      <c r="L8" s="25"/>
      <c r="M8" s="9"/>
    </row>
    <row r="9" spans="1:13" ht="30" customHeight="1" x14ac:dyDescent="0.3">
      <c r="B9" s="47"/>
      <c r="C9" s="63"/>
      <c r="D9" s="66"/>
      <c r="E9" s="9" t="s">
        <v>79</v>
      </c>
      <c r="F9" s="24">
        <v>20</v>
      </c>
      <c r="G9" s="24">
        <f>F9*1.1</f>
        <v>22</v>
      </c>
      <c r="H9" s="24">
        <f t="shared" ref="H9:I9" si="4">G9*1.1</f>
        <v>24.200000000000003</v>
      </c>
      <c r="I9" s="24">
        <f t="shared" si="4"/>
        <v>26.620000000000005</v>
      </c>
      <c r="J9" s="46">
        <v>0.1</v>
      </c>
      <c r="K9" s="25"/>
      <c r="L9" s="25"/>
      <c r="M9" s="9"/>
    </row>
    <row r="10" spans="1:13" ht="30" customHeight="1" x14ac:dyDescent="0.3">
      <c r="B10" s="47"/>
      <c r="C10" s="63"/>
      <c r="D10" s="67" t="s">
        <v>52</v>
      </c>
      <c r="E10" s="9" t="s">
        <v>78</v>
      </c>
      <c r="F10" s="24">
        <v>50</v>
      </c>
      <c r="G10" s="24">
        <f>F10+5</f>
        <v>55</v>
      </c>
      <c r="H10" s="24">
        <f t="shared" ref="H10:I11" si="5">G10+5</f>
        <v>60</v>
      </c>
      <c r="I10" s="24">
        <f t="shared" si="5"/>
        <v>65</v>
      </c>
      <c r="J10" s="42" t="s">
        <v>118</v>
      </c>
      <c r="K10" s="25"/>
      <c r="L10" s="25"/>
      <c r="M10" s="9"/>
    </row>
    <row r="11" spans="1:13" ht="30" customHeight="1" x14ac:dyDescent="0.3">
      <c r="B11" s="47"/>
      <c r="C11" s="63"/>
      <c r="D11" s="65"/>
      <c r="E11" s="9" t="s">
        <v>81</v>
      </c>
      <c r="F11" s="24">
        <v>25</v>
      </c>
      <c r="G11" s="24">
        <f>F11+5</f>
        <v>30</v>
      </c>
      <c r="H11" s="24">
        <f t="shared" si="5"/>
        <v>35</v>
      </c>
      <c r="I11" s="24">
        <f t="shared" si="5"/>
        <v>40</v>
      </c>
      <c r="J11" s="42" t="s">
        <v>118</v>
      </c>
      <c r="K11" s="25"/>
      <c r="L11" s="25"/>
      <c r="M11" s="9"/>
    </row>
    <row r="12" spans="1:13" ht="30" customHeight="1" x14ac:dyDescent="0.3">
      <c r="A12" s="26"/>
      <c r="B12" s="53"/>
      <c r="C12" s="69" t="s">
        <v>74</v>
      </c>
      <c r="D12" s="55" t="s">
        <v>83</v>
      </c>
      <c r="E12" s="28" t="s">
        <v>84</v>
      </c>
      <c r="F12" s="29">
        <v>30</v>
      </c>
      <c r="G12" s="29">
        <f>F12*1.1</f>
        <v>33</v>
      </c>
      <c r="H12" s="29">
        <f t="shared" ref="H12:I12" si="6">G12*1.1</f>
        <v>36.300000000000004</v>
      </c>
      <c r="I12" s="29">
        <f t="shared" si="6"/>
        <v>39.930000000000007</v>
      </c>
      <c r="J12" s="46">
        <v>0.1</v>
      </c>
      <c r="K12" s="30"/>
      <c r="L12" s="30"/>
      <c r="M12" s="30"/>
    </row>
    <row r="13" spans="1:13" ht="30" customHeight="1" x14ac:dyDescent="0.3">
      <c r="A13" s="26"/>
      <c r="B13" s="54"/>
      <c r="C13" s="70"/>
      <c r="D13" s="56"/>
      <c r="E13" s="30" t="s">
        <v>85</v>
      </c>
      <c r="F13" s="29">
        <v>2</v>
      </c>
      <c r="G13" s="29">
        <v>3</v>
      </c>
      <c r="H13" s="29">
        <v>4</v>
      </c>
      <c r="I13" s="29">
        <v>5</v>
      </c>
      <c r="J13" s="42" t="s">
        <v>119</v>
      </c>
      <c r="K13" s="30"/>
      <c r="L13" s="30"/>
      <c r="M13" s="30"/>
    </row>
    <row r="14" spans="1:13" ht="30" customHeight="1" x14ac:dyDescent="0.3">
      <c r="A14" s="26"/>
      <c r="B14" s="54"/>
      <c r="C14" s="70"/>
      <c r="D14" s="68"/>
      <c r="E14" s="30" t="s">
        <v>86</v>
      </c>
      <c r="F14" s="29">
        <v>60</v>
      </c>
      <c r="G14" s="29">
        <f>F14*1.1</f>
        <v>66</v>
      </c>
      <c r="H14" s="29">
        <f t="shared" ref="H14:I14" si="7">G14*1.2</f>
        <v>79.2</v>
      </c>
      <c r="I14" s="29">
        <f t="shared" si="7"/>
        <v>95.04</v>
      </c>
      <c r="J14" s="46">
        <v>0.1</v>
      </c>
      <c r="K14" s="30"/>
      <c r="L14" s="30"/>
      <c r="M14" s="30"/>
    </row>
    <row r="15" spans="1:13" ht="30" customHeight="1" x14ac:dyDescent="0.3">
      <c r="A15" s="26"/>
      <c r="B15" s="54"/>
      <c r="C15" s="70"/>
      <c r="D15" s="16" t="s">
        <v>54</v>
      </c>
      <c r="E15" s="30" t="s">
        <v>87</v>
      </c>
      <c r="F15" s="29">
        <v>40</v>
      </c>
      <c r="G15" s="29">
        <f>F15*1.1</f>
        <v>44</v>
      </c>
      <c r="H15" s="29">
        <f t="shared" ref="H15:I15" si="8">G15*1.1</f>
        <v>48.400000000000006</v>
      </c>
      <c r="I15" s="29">
        <f t="shared" si="8"/>
        <v>53.240000000000009</v>
      </c>
      <c r="J15" s="46">
        <v>0.1</v>
      </c>
      <c r="K15" s="30"/>
      <c r="L15" s="30"/>
      <c r="M15" s="30"/>
    </row>
    <row r="16" spans="1:13" ht="30" customHeight="1" x14ac:dyDescent="0.3">
      <c r="A16" s="26"/>
      <c r="B16" s="54"/>
      <c r="C16" s="70"/>
      <c r="D16" s="55" t="s">
        <v>113</v>
      </c>
      <c r="E16" s="30" t="s">
        <v>88</v>
      </c>
      <c r="F16" s="29">
        <v>20</v>
      </c>
      <c r="G16" s="29">
        <f>F16+5</f>
        <v>25</v>
      </c>
      <c r="H16" s="29">
        <f t="shared" ref="H16:I16" si="9">G16+5</f>
        <v>30</v>
      </c>
      <c r="I16" s="29">
        <f t="shared" si="9"/>
        <v>35</v>
      </c>
      <c r="J16" s="42" t="s">
        <v>118</v>
      </c>
      <c r="K16" s="30"/>
      <c r="L16" s="30"/>
      <c r="M16" s="30"/>
    </row>
    <row r="17" spans="1:13" ht="30" customHeight="1" x14ac:dyDescent="0.3">
      <c r="A17" s="26"/>
      <c r="B17" s="54"/>
      <c r="C17" s="70"/>
      <c r="D17" s="56"/>
      <c r="E17" s="30" t="s">
        <v>114</v>
      </c>
      <c r="F17" s="29">
        <v>35</v>
      </c>
      <c r="G17" s="29">
        <f>F17*1.2</f>
        <v>42</v>
      </c>
      <c r="H17" s="29">
        <f t="shared" ref="H17:I17" si="10">G17*1.2</f>
        <v>50.4</v>
      </c>
      <c r="I17" s="29">
        <f t="shared" si="10"/>
        <v>60.48</v>
      </c>
      <c r="J17" s="46">
        <v>0.2</v>
      </c>
      <c r="K17" s="30"/>
      <c r="L17" s="30"/>
      <c r="M17" s="30"/>
    </row>
    <row r="18" spans="1:13" ht="30" customHeight="1" x14ac:dyDescent="0.3">
      <c r="A18" s="26"/>
      <c r="B18" s="54"/>
      <c r="C18" s="70"/>
      <c r="D18" s="56"/>
      <c r="E18" s="30" t="s">
        <v>115</v>
      </c>
      <c r="F18" s="29">
        <v>200</v>
      </c>
      <c r="G18" s="29">
        <f>F18+100</f>
        <v>300</v>
      </c>
      <c r="H18" s="29">
        <f t="shared" ref="H18:I18" si="11">G18+100</f>
        <v>400</v>
      </c>
      <c r="I18" s="29">
        <f t="shared" si="11"/>
        <v>500</v>
      </c>
      <c r="J18" s="42" t="s">
        <v>120</v>
      </c>
      <c r="K18" s="30"/>
      <c r="L18" s="30"/>
      <c r="M18" s="30"/>
    </row>
    <row r="19" spans="1:13" ht="30" customHeight="1" x14ac:dyDescent="0.3">
      <c r="A19" s="26"/>
      <c r="B19" s="51"/>
      <c r="C19" s="58" t="s">
        <v>56</v>
      </c>
      <c r="D19" s="57" t="s">
        <v>58</v>
      </c>
      <c r="E19" s="9" t="s">
        <v>89</v>
      </c>
      <c r="F19" s="27">
        <v>6000</v>
      </c>
      <c r="G19" s="27">
        <f>F19+1000</f>
        <v>7000</v>
      </c>
      <c r="H19" s="27">
        <f t="shared" ref="H19:I19" si="12">G19+1000</f>
        <v>8000</v>
      </c>
      <c r="I19" s="27">
        <f t="shared" si="12"/>
        <v>9000</v>
      </c>
      <c r="J19" s="42" t="s">
        <v>122</v>
      </c>
      <c r="K19" s="9"/>
      <c r="L19" s="9"/>
      <c r="M19" s="9"/>
    </row>
    <row r="20" spans="1:13" ht="30" customHeight="1" x14ac:dyDescent="0.3">
      <c r="A20" s="26"/>
      <c r="B20" s="47"/>
      <c r="C20" s="58"/>
      <c r="D20" s="58"/>
      <c r="E20" s="9" t="s">
        <v>97</v>
      </c>
      <c r="F20" s="27">
        <v>8</v>
      </c>
      <c r="G20" s="27">
        <f>F20+2</f>
        <v>10</v>
      </c>
      <c r="H20" s="27">
        <f t="shared" ref="H20:I20" si="13">G20+2</f>
        <v>12</v>
      </c>
      <c r="I20" s="27">
        <f t="shared" si="13"/>
        <v>14</v>
      </c>
      <c r="J20" s="42" t="s">
        <v>117</v>
      </c>
      <c r="K20" s="9"/>
      <c r="L20" s="9"/>
      <c r="M20" s="9"/>
    </row>
    <row r="21" spans="1:13" ht="30" customHeight="1" x14ac:dyDescent="0.3">
      <c r="A21" s="26"/>
      <c r="B21" s="47"/>
      <c r="C21" s="58"/>
      <c r="D21" s="59"/>
      <c r="E21" s="9" t="s">
        <v>90</v>
      </c>
      <c r="F21" s="27">
        <v>0.12</v>
      </c>
      <c r="G21" s="27">
        <f>F21*1.1</f>
        <v>0.13200000000000001</v>
      </c>
      <c r="H21" s="27">
        <f t="shared" ref="H21:I21" si="14">G21*1.1</f>
        <v>0.14520000000000002</v>
      </c>
      <c r="I21" s="27">
        <f t="shared" si="14"/>
        <v>0.15972000000000003</v>
      </c>
      <c r="J21" s="46">
        <v>0.1</v>
      </c>
      <c r="K21" s="9"/>
      <c r="L21" s="9"/>
      <c r="M21" s="9"/>
    </row>
    <row r="22" spans="1:13" ht="30" customHeight="1" x14ac:dyDescent="0.3">
      <c r="A22" s="26"/>
      <c r="B22" s="47"/>
      <c r="C22" s="58"/>
      <c r="D22" s="57" t="s">
        <v>59</v>
      </c>
      <c r="E22" s="9" t="s">
        <v>91</v>
      </c>
      <c r="F22" s="27">
        <v>20</v>
      </c>
      <c r="G22" s="27">
        <f>F22+10</f>
        <v>30</v>
      </c>
      <c r="H22" s="27">
        <f t="shared" ref="H22:I22" si="15">G22+10</f>
        <v>40</v>
      </c>
      <c r="I22" s="27">
        <f t="shared" si="15"/>
        <v>50</v>
      </c>
      <c r="J22" s="42" t="s">
        <v>123</v>
      </c>
      <c r="K22" s="9"/>
      <c r="L22" s="9"/>
      <c r="M22" s="9"/>
    </row>
    <row r="23" spans="1:13" ht="30" customHeight="1" x14ac:dyDescent="0.3">
      <c r="A23" s="26"/>
      <c r="B23" s="47"/>
      <c r="C23" s="58"/>
      <c r="D23" s="59"/>
      <c r="E23" s="9" t="s">
        <v>94</v>
      </c>
      <c r="F23" s="27">
        <v>25000</v>
      </c>
      <c r="G23" s="27">
        <f>F23+5000</f>
        <v>30000</v>
      </c>
      <c r="H23" s="27">
        <f t="shared" ref="H23:I23" si="16">G23+5000</f>
        <v>35000</v>
      </c>
      <c r="I23" s="27">
        <f t="shared" si="16"/>
        <v>40000</v>
      </c>
      <c r="J23" s="42" t="s">
        <v>124</v>
      </c>
      <c r="K23" s="9"/>
      <c r="L23" s="9"/>
      <c r="M23" s="9"/>
    </row>
    <row r="24" spans="1:13" ht="30" customHeight="1" x14ac:dyDescent="0.3">
      <c r="A24" s="26"/>
      <c r="B24" s="47"/>
      <c r="C24" s="58"/>
      <c r="D24" s="57" t="s">
        <v>62</v>
      </c>
      <c r="E24" s="9" t="s">
        <v>92</v>
      </c>
      <c r="F24" s="27">
        <v>35</v>
      </c>
      <c r="G24" s="27">
        <f>F24+10</f>
        <v>45</v>
      </c>
      <c r="H24" s="27">
        <f t="shared" ref="H24:I24" si="17">G24+10</f>
        <v>55</v>
      </c>
      <c r="I24" s="27">
        <f t="shared" si="17"/>
        <v>65</v>
      </c>
      <c r="J24" s="42" t="s">
        <v>125</v>
      </c>
      <c r="K24" s="9"/>
      <c r="L24" s="9"/>
      <c r="M24" s="9"/>
    </row>
    <row r="25" spans="1:13" ht="30" customHeight="1" x14ac:dyDescent="0.3">
      <c r="A25" s="26"/>
      <c r="B25" s="47"/>
      <c r="C25" s="58"/>
      <c r="D25" s="58"/>
      <c r="E25" s="9" t="s">
        <v>96</v>
      </c>
      <c r="F25" s="27">
        <v>12</v>
      </c>
      <c r="G25" s="27">
        <f>F25*1.1</f>
        <v>13.200000000000001</v>
      </c>
      <c r="H25" s="27">
        <f t="shared" ref="H25:I25" si="18">G25*1.1</f>
        <v>14.520000000000003</v>
      </c>
      <c r="I25" s="27">
        <f t="shared" si="18"/>
        <v>15.972000000000005</v>
      </c>
      <c r="J25" s="46">
        <v>0.1</v>
      </c>
      <c r="K25" s="9"/>
      <c r="L25" s="9"/>
      <c r="M25" s="9"/>
    </row>
    <row r="26" spans="1:13" ht="30" customHeight="1" x14ac:dyDescent="0.3">
      <c r="A26" s="26"/>
      <c r="B26" s="47"/>
      <c r="C26" s="58"/>
      <c r="D26" s="59"/>
      <c r="E26" s="9" t="s">
        <v>93</v>
      </c>
      <c r="F26" s="27">
        <v>20</v>
      </c>
      <c r="G26" s="27">
        <f>F26*1.1</f>
        <v>22</v>
      </c>
      <c r="H26" s="27">
        <f t="shared" ref="H26:I26" si="19">G26*1.1</f>
        <v>24.200000000000003</v>
      </c>
      <c r="I26" s="27">
        <f t="shared" si="19"/>
        <v>26.620000000000005</v>
      </c>
      <c r="J26" s="46">
        <v>0.1</v>
      </c>
      <c r="K26" s="9"/>
      <c r="L26" s="9"/>
      <c r="M26" s="9"/>
    </row>
    <row r="27" spans="1:13" ht="30" customHeight="1" x14ac:dyDescent="0.3">
      <c r="A27" s="26"/>
      <c r="B27" s="47"/>
      <c r="C27" s="59"/>
      <c r="D27" s="12" t="s">
        <v>60</v>
      </c>
      <c r="E27" s="9" t="s">
        <v>95</v>
      </c>
      <c r="F27" s="27">
        <v>18</v>
      </c>
      <c r="G27" s="27">
        <f>F27*0.9</f>
        <v>16.2</v>
      </c>
      <c r="H27" s="27">
        <f t="shared" ref="H27:I27" si="20">G27*0.9</f>
        <v>14.58</v>
      </c>
      <c r="I27" s="27">
        <f t="shared" si="20"/>
        <v>13.122</v>
      </c>
      <c r="J27" s="46">
        <v>-0.1</v>
      </c>
      <c r="K27" s="9"/>
      <c r="L27" s="9"/>
      <c r="M27" s="9"/>
    </row>
    <row r="28" spans="1:13" ht="30" customHeight="1" x14ac:dyDescent="0.3">
      <c r="A28" s="26"/>
      <c r="B28" s="48"/>
      <c r="C28" s="60" t="s">
        <v>61</v>
      </c>
      <c r="D28" s="60" t="s">
        <v>63</v>
      </c>
      <c r="E28" s="16" t="s">
        <v>98</v>
      </c>
      <c r="F28" s="31">
        <v>35</v>
      </c>
      <c r="G28" s="31">
        <f>F28+10</f>
        <v>45</v>
      </c>
      <c r="H28" s="31">
        <f t="shared" ref="H28:I28" si="21">G28+10</f>
        <v>55</v>
      </c>
      <c r="I28" s="31">
        <f t="shared" si="21"/>
        <v>65</v>
      </c>
      <c r="J28" s="42" t="s">
        <v>125</v>
      </c>
      <c r="K28" s="16"/>
      <c r="L28" s="16"/>
      <c r="M28" s="16"/>
    </row>
    <row r="29" spans="1:13" ht="30" customHeight="1" x14ac:dyDescent="0.3">
      <c r="A29" s="26"/>
      <c r="B29" s="49"/>
      <c r="C29" s="61"/>
      <c r="D29" s="61"/>
      <c r="E29" s="19" t="s">
        <v>101</v>
      </c>
      <c r="F29" s="31">
        <v>20</v>
      </c>
      <c r="G29" s="31">
        <f>F29*1.1</f>
        <v>22</v>
      </c>
      <c r="H29" s="31">
        <f t="shared" ref="H29:I29" si="22">G29*1.1</f>
        <v>24.200000000000003</v>
      </c>
      <c r="I29" s="31">
        <f t="shared" si="22"/>
        <v>26.620000000000005</v>
      </c>
      <c r="J29" s="46">
        <v>0.1</v>
      </c>
      <c r="K29" s="16"/>
      <c r="L29" s="16"/>
      <c r="M29" s="16"/>
    </row>
    <row r="30" spans="1:13" ht="30" customHeight="1" x14ac:dyDescent="0.3">
      <c r="A30" s="26"/>
      <c r="B30" s="49"/>
      <c r="C30" s="61"/>
      <c r="D30" s="61"/>
      <c r="E30" s="19" t="s">
        <v>102</v>
      </c>
      <c r="F30" s="31">
        <v>500</v>
      </c>
      <c r="G30" s="31">
        <f>F30*2</f>
        <v>1000</v>
      </c>
      <c r="H30" s="31">
        <f t="shared" ref="H30:I30" si="23">G30*2</f>
        <v>2000</v>
      </c>
      <c r="I30" s="31">
        <f t="shared" si="23"/>
        <v>4000</v>
      </c>
      <c r="J30" s="42" t="s">
        <v>127</v>
      </c>
      <c r="K30" s="16"/>
      <c r="L30" s="16"/>
      <c r="M30" s="16"/>
    </row>
    <row r="31" spans="1:13" ht="30" customHeight="1" x14ac:dyDescent="0.3">
      <c r="A31" s="26"/>
      <c r="B31" s="49"/>
      <c r="C31" s="61"/>
      <c r="D31" s="76"/>
      <c r="E31" s="19" t="s">
        <v>103</v>
      </c>
      <c r="F31" s="31">
        <v>250</v>
      </c>
      <c r="G31" s="31">
        <f>F31*2</f>
        <v>500</v>
      </c>
      <c r="H31" s="31">
        <f t="shared" ref="H31:I31" si="24">G31*2</f>
        <v>1000</v>
      </c>
      <c r="I31" s="31">
        <f t="shared" si="24"/>
        <v>2000</v>
      </c>
      <c r="J31" s="42" t="s">
        <v>127</v>
      </c>
      <c r="K31" s="16"/>
      <c r="L31" s="16"/>
      <c r="M31" s="16"/>
    </row>
    <row r="32" spans="1:13" ht="30" customHeight="1" x14ac:dyDescent="0.3">
      <c r="A32" s="26"/>
      <c r="B32" s="49"/>
      <c r="C32" s="61"/>
      <c r="D32" s="60" t="s">
        <v>64</v>
      </c>
      <c r="E32" s="19" t="s">
        <v>109</v>
      </c>
      <c r="F32" s="31">
        <v>1</v>
      </c>
      <c r="G32" s="31">
        <v>2</v>
      </c>
      <c r="H32" s="31">
        <v>2</v>
      </c>
      <c r="I32" s="31">
        <v>3</v>
      </c>
      <c r="K32" s="16"/>
      <c r="L32" s="16">
        <f>IFERROR((K32-I32)/I32,"")</f>
        <v>-1</v>
      </c>
      <c r="M32" s="16"/>
    </row>
    <row r="33" spans="1:13" ht="30" customHeight="1" x14ac:dyDescent="0.3">
      <c r="A33" s="26"/>
      <c r="B33" s="49"/>
      <c r="C33" s="61"/>
      <c r="D33" s="76"/>
      <c r="E33" s="19" t="s">
        <v>110</v>
      </c>
      <c r="F33" s="31">
        <v>4</v>
      </c>
      <c r="G33" s="31">
        <f>F33*0.85</f>
        <v>3.4</v>
      </c>
      <c r="H33" s="31">
        <f t="shared" ref="H33:I33" si="25">G33*0.85</f>
        <v>2.8899999999999997</v>
      </c>
      <c r="I33" s="31">
        <f t="shared" si="25"/>
        <v>2.4564999999999997</v>
      </c>
      <c r="J33" s="46">
        <v>-0.15</v>
      </c>
      <c r="K33" s="16"/>
      <c r="L33" s="16"/>
      <c r="M33" s="16"/>
    </row>
    <row r="34" spans="1:13" ht="30" customHeight="1" x14ac:dyDescent="0.3">
      <c r="A34" s="26"/>
      <c r="B34" s="49"/>
      <c r="C34" s="61"/>
      <c r="D34" s="60" t="s">
        <v>66</v>
      </c>
      <c r="E34" s="19" t="s">
        <v>99</v>
      </c>
      <c r="F34" s="32" t="s">
        <v>121</v>
      </c>
      <c r="G34" s="32" t="s">
        <v>126</v>
      </c>
      <c r="H34" s="31">
        <v>6</v>
      </c>
      <c r="I34" s="31">
        <f t="shared" ref="I34" si="26">H34+1</f>
        <v>7</v>
      </c>
      <c r="K34" s="16"/>
      <c r="L34" s="16">
        <f>IFERROR((K34-I34)/I34,"")</f>
        <v>-1</v>
      </c>
      <c r="M34" s="16"/>
    </row>
    <row r="35" spans="1:13" ht="30" customHeight="1" x14ac:dyDescent="0.3">
      <c r="A35" s="26"/>
      <c r="B35" s="49"/>
      <c r="C35" s="61"/>
      <c r="D35" s="76"/>
      <c r="E35" s="19" t="s">
        <v>109</v>
      </c>
      <c r="F35" s="31">
        <v>1</v>
      </c>
      <c r="G35" s="31">
        <v>2</v>
      </c>
      <c r="H35" s="31">
        <v>2</v>
      </c>
      <c r="I35" s="31">
        <v>3</v>
      </c>
      <c r="K35" s="16"/>
      <c r="L35" s="16"/>
      <c r="M35" s="16"/>
    </row>
    <row r="36" spans="1:13" ht="30" customHeight="1" x14ac:dyDescent="0.3">
      <c r="A36" s="26"/>
      <c r="B36" s="49"/>
      <c r="C36" s="61"/>
      <c r="D36" s="16" t="s">
        <v>65</v>
      </c>
      <c r="E36" s="16" t="s">
        <v>100</v>
      </c>
      <c r="F36" s="31">
        <v>3</v>
      </c>
      <c r="G36" s="31" t="s">
        <v>126</v>
      </c>
      <c r="H36" s="31" t="s">
        <v>126</v>
      </c>
      <c r="I36" s="31" t="s">
        <v>126</v>
      </c>
      <c r="K36" s="16"/>
      <c r="L36" s="16"/>
      <c r="M36" s="16"/>
    </row>
    <row r="37" spans="1:13" ht="30" customHeight="1" x14ac:dyDescent="0.3">
      <c r="A37" s="26"/>
      <c r="B37" s="49"/>
      <c r="C37" s="61"/>
      <c r="D37" s="60" t="s">
        <v>67</v>
      </c>
      <c r="E37" s="19" t="s">
        <v>99</v>
      </c>
      <c r="F37" s="32" t="s">
        <v>121</v>
      </c>
      <c r="G37" s="32" t="s">
        <v>126</v>
      </c>
      <c r="H37" s="32">
        <v>6</v>
      </c>
      <c r="I37" s="32">
        <f t="shared" ref="I37" si="27">H37+1</f>
        <v>7</v>
      </c>
      <c r="K37" s="19"/>
      <c r="L37" s="19">
        <f>IFERROR((K37-I37)/I37,"")</f>
        <v>-1</v>
      </c>
      <c r="M37" s="19"/>
    </row>
    <row r="38" spans="1:13" ht="30" customHeight="1" x14ac:dyDescent="0.3">
      <c r="A38" s="26"/>
      <c r="B38" s="49"/>
      <c r="C38" s="61"/>
      <c r="D38" s="61"/>
      <c r="E38" s="19" t="s">
        <v>109</v>
      </c>
      <c r="F38" s="31">
        <v>1</v>
      </c>
      <c r="G38" s="31">
        <v>2</v>
      </c>
      <c r="H38" s="31">
        <v>2</v>
      </c>
      <c r="I38" s="31">
        <v>3</v>
      </c>
      <c r="K38" s="16"/>
      <c r="L38" s="16"/>
      <c r="M38" s="16"/>
    </row>
    <row r="39" spans="1:13" ht="30" customHeight="1" x14ac:dyDescent="0.3">
      <c r="A39" s="26"/>
      <c r="B39" s="49"/>
      <c r="C39" s="61"/>
      <c r="D39" s="76"/>
      <c r="E39" s="19" t="s">
        <v>104</v>
      </c>
      <c r="F39" s="32">
        <v>50</v>
      </c>
      <c r="G39" s="32">
        <f>F39+5</f>
        <v>55</v>
      </c>
      <c r="H39" s="32">
        <f t="shared" ref="H39:I39" si="28">G39+5</f>
        <v>60</v>
      </c>
      <c r="I39" s="32">
        <f t="shared" si="28"/>
        <v>65</v>
      </c>
      <c r="J39" s="42" t="s">
        <v>118</v>
      </c>
      <c r="K39" s="19"/>
      <c r="L39" s="19"/>
      <c r="M39" s="19"/>
    </row>
    <row r="40" spans="1:13" ht="30" customHeight="1" x14ac:dyDescent="0.3">
      <c r="A40" s="26"/>
      <c r="B40" s="49"/>
      <c r="C40" s="61"/>
      <c r="D40" s="71" t="s">
        <v>68</v>
      </c>
      <c r="E40" s="16" t="s">
        <v>106</v>
      </c>
      <c r="F40" s="32" t="s">
        <v>121</v>
      </c>
      <c r="G40" s="32" t="s">
        <v>126</v>
      </c>
      <c r="H40" s="32">
        <v>5</v>
      </c>
      <c r="I40" s="32">
        <v>7</v>
      </c>
      <c r="K40" s="19"/>
      <c r="L40" s="19"/>
      <c r="M40" s="19"/>
    </row>
    <row r="41" spans="1:13" ht="30" customHeight="1" x14ac:dyDescent="0.3">
      <c r="A41" s="26"/>
      <c r="B41" s="18"/>
      <c r="C41" s="37"/>
      <c r="D41" s="72"/>
      <c r="E41" s="16" t="s">
        <v>105</v>
      </c>
      <c r="F41" s="32">
        <v>20</v>
      </c>
      <c r="G41" s="32">
        <v>20</v>
      </c>
      <c r="H41" s="32">
        <v>60</v>
      </c>
      <c r="I41" s="32">
        <v>80</v>
      </c>
      <c r="K41" s="19"/>
      <c r="L41" s="19"/>
      <c r="M41" s="19"/>
    </row>
    <row r="42" spans="1:13" ht="30" customHeight="1" x14ac:dyDescent="0.3">
      <c r="A42" s="26"/>
      <c r="B42" s="50"/>
      <c r="C42" s="57" t="s">
        <v>70</v>
      </c>
      <c r="D42" s="73" t="s">
        <v>72</v>
      </c>
      <c r="E42" s="12" t="s">
        <v>107</v>
      </c>
      <c r="F42" s="33">
        <v>70</v>
      </c>
      <c r="G42" s="33">
        <f>F42+5</f>
        <v>75</v>
      </c>
      <c r="H42" s="33">
        <f t="shared" ref="H42:I42" si="29">G42+5</f>
        <v>80</v>
      </c>
      <c r="I42" s="33">
        <f t="shared" si="29"/>
        <v>85</v>
      </c>
      <c r="J42" s="42" t="s">
        <v>118</v>
      </c>
      <c r="K42" s="12"/>
      <c r="L42" s="12"/>
      <c r="M42" s="12"/>
    </row>
    <row r="43" spans="1:13" ht="30" customHeight="1" x14ac:dyDescent="0.3">
      <c r="A43" s="26"/>
      <c r="B43" s="47"/>
      <c r="C43" s="58"/>
      <c r="D43" s="74"/>
      <c r="E43" s="12" t="s">
        <v>108</v>
      </c>
      <c r="F43" s="33">
        <v>200</v>
      </c>
      <c r="G43" s="33">
        <f>F43*2</f>
        <v>400</v>
      </c>
      <c r="H43" s="33">
        <f t="shared" ref="H43:I43" si="30">G43*2</f>
        <v>800</v>
      </c>
      <c r="I43" s="33">
        <f t="shared" si="30"/>
        <v>1600</v>
      </c>
      <c r="J43" s="42" t="s">
        <v>127</v>
      </c>
      <c r="K43" s="12"/>
      <c r="L43" s="12"/>
      <c r="M43" s="12"/>
    </row>
    <row r="44" spans="1:13" ht="30" customHeight="1" x14ac:dyDescent="0.3">
      <c r="A44" s="26"/>
      <c r="B44" s="47"/>
      <c r="C44" s="58"/>
      <c r="D44" s="75"/>
      <c r="E44" s="12" t="s">
        <v>112</v>
      </c>
      <c r="F44" s="33">
        <v>60</v>
      </c>
      <c r="G44" s="33">
        <f>F44+5</f>
        <v>65</v>
      </c>
      <c r="H44" s="33">
        <f t="shared" ref="H44:I44" si="31">G44+5</f>
        <v>70</v>
      </c>
      <c r="I44" s="33">
        <f t="shared" si="31"/>
        <v>75</v>
      </c>
      <c r="J44" s="42" t="s">
        <v>118</v>
      </c>
      <c r="K44" s="12"/>
      <c r="L44" s="12"/>
      <c r="M44" s="12"/>
    </row>
    <row r="45" spans="1:13" ht="30" customHeight="1" x14ac:dyDescent="0.3">
      <c r="A45" s="26"/>
      <c r="B45" s="47"/>
      <c r="C45" s="58"/>
      <c r="D45" s="57" t="s">
        <v>73</v>
      </c>
      <c r="E45" s="12" t="s">
        <v>108</v>
      </c>
      <c r="F45" s="33">
        <v>200</v>
      </c>
      <c r="G45" s="33">
        <f>F45*2</f>
        <v>400</v>
      </c>
      <c r="H45" s="33">
        <f t="shared" ref="H45:I45" si="32">G45*2</f>
        <v>800</v>
      </c>
      <c r="I45" s="33">
        <f t="shared" si="32"/>
        <v>1600</v>
      </c>
      <c r="J45" s="42" t="s">
        <v>127</v>
      </c>
      <c r="K45" s="12"/>
      <c r="L45" s="12"/>
      <c r="M45" s="12"/>
    </row>
    <row r="46" spans="1:13" ht="30" customHeight="1" x14ac:dyDescent="0.3">
      <c r="A46" s="26"/>
      <c r="B46" s="47"/>
      <c r="C46" s="58"/>
      <c r="D46" s="59"/>
      <c r="E46" s="12" t="s">
        <v>111</v>
      </c>
      <c r="F46" s="33">
        <v>50</v>
      </c>
      <c r="G46" s="33">
        <f>F46*2</f>
        <v>100</v>
      </c>
      <c r="H46" s="33">
        <f t="shared" ref="H46:I46" si="33">G46*2</f>
        <v>200</v>
      </c>
      <c r="I46" s="33">
        <f t="shared" si="33"/>
        <v>400</v>
      </c>
      <c r="J46" s="42" t="s">
        <v>127</v>
      </c>
      <c r="K46" s="12"/>
      <c r="L46" s="12"/>
      <c r="M46" s="12"/>
    </row>
  </sheetData>
  <mergeCells count="25">
    <mergeCell ref="C42:C46"/>
    <mergeCell ref="D42:D44"/>
    <mergeCell ref="D45:D46"/>
    <mergeCell ref="D22:D23"/>
    <mergeCell ref="D24:D26"/>
    <mergeCell ref="D28:D31"/>
    <mergeCell ref="D32:D33"/>
    <mergeCell ref="D34:D35"/>
    <mergeCell ref="D37:D39"/>
    <mergeCell ref="B5:B11"/>
    <mergeCell ref="B12:B18"/>
    <mergeCell ref="D16:D18"/>
    <mergeCell ref="B42:B46"/>
    <mergeCell ref="D19:D21"/>
    <mergeCell ref="B19:B27"/>
    <mergeCell ref="B28:B40"/>
    <mergeCell ref="C28:C40"/>
    <mergeCell ref="C19:C27"/>
    <mergeCell ref="C5:C11"/>
    <mergeCell ref="D6:D7"/>
    <mergeCell ref="D8:D9"/>
    <mergeCell ref="D10:D11"/>
    <mergeCell ref="D12:D14"/>
    <mergeCell ref="C12:C18"/>
    <mergeCell ref="D40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Indicadores de Anos Anteriores</vt:lpstr>
      <vt:lpstr>OKRs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Carlos Nascimento José Lopes Faustino</dc:creator>
  <cp:lastModifiedBy>Afonso David Filipe Maia</cp:lastModifiedBy>
  <dcterms:created xsi:type="dcterms:W3CDTF">2026-04-18T13:02:49Z</dcterms:created>
  <dcterms:modified xsi:type="dcterms:W3CDTF">2026-05-02T14:06:22Z</dcterms:modified>
</cp:coreProperties>
</file>